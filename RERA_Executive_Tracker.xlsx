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emang\OneDrive\Desktop\RERA_Scrapper\"/>
    </mc:Choice>
  </mc:AlternateContent>
  <xr:revisionPtr revIDLastSave="0" documentId="13_ncr:1_{17E2D451-51F4-42DD-868D-75837B03F2EE}" xr6:coauthVersionLast="47" xr6:coauthVersionMax="47" xr10:uidLastSave="{00000000-0000-0000-0000-000000000000}"/>
  <bookViews>
    <workbookView xWindow="-98" yWindow="-98" windowWidth="21795" windowHeight="12975" tabRatio="500" xr2:uid="{00000000-000D-0000-FFFF-FFFF00000000}"/>
  </bookViews>
  <sheets>
    <sheet name="Dashboard" sheetId="1" r:id="rId1"/>
    <sheet name="Master Tracker" sheetId="2" r:id="rId2"/>
    <sheet name="Notes &amp; Sources" sheetId="3" r:id="rId3"/>
  </sheets>
  <definedNames>
    <definedName name="_xlnm._FilterDatabase" localSheetId="1" hidden="1">'Master Tracker'!$A$1:$Z$6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6" i="2" l="1"/>
  <c r="B16" i="1" s="1"/>
  <c r="M5" i="2"/>
  <c r="M4" i="2"/>
  <c r="B14" i="1" s="1"/>
  <c r="M3" i="2"/>
  <c r="B13" i="1" s="1"/>
  <c r="M2" i="2"/>
  <c r="B12" i="1" s="1"/>
  <c r="E16" i="1"/>
  <c r="D16" i="1"/>
  <c r="C16" i="1"/>
  <c r="E15" i="1"/>
  <c r="D15" i="1"/>
  <c r="C15" i="1"/>
  <c r="B15" i="1"/>
  <c r="A15" i="1"/>
  <c r="E14" i="1"/>
  <c r="D14" i="1"/>
  <c r="C14" i="1"/>
  <c r="A14" i="1"/>
  <c r="E13" i="1"/>
  <c r="D13" i="1"/>
  <c r="C13" i="1"/>
  <c r="A13" i="1"/>
  <c r="E12" i="1"/>
  <c r="D12" i="1"/>
  <c r="C12" i="1"/>
  <c r="A12" i="1"/>
  <c r="K6" i="1"/>
  <c r="I6" i="1"/>
  <c r="G6" i="1"/>
  <c r="E6" i="1"/>
  <c r="C6" i="1"/>
  <c r="A6" i="1"/>
</calcChain>
</file>

<file path=xl/sharedStrings.xml><?xml version="1.0" encoding="utf-8"?>
<sst xmlns="http://schemas.openxmlformats.org/spreadsheetml/2006/main" count="156" uniqueCount="116">
  <si>
    <t>RERA Project Portfolio — Executive Tracker</t>
  </si>
  <si>
    <t>Source: individual project .facts.json files behind each Company Charter (MahaRERA live record + independent web verification). Last compiled 2026-07-27.</t>
  </si>
  <si>
    <t>Projects Tracked</t>
  </si>
  <si>
    <t>Total Units (all projects)</t>
  </si>
  <si>
    <t>Total Units Sold</t>
  </si>
  <si>
    <t>Total Complaints</t>
  </si>
  <si>
    <t>Total Appeals</t>
  </si>
  <si>
    <t>Projects Delayed</t>
  </si>
  <si>
    <t>Chart Data (linked to Master Tracker — do not edit)</t>
  </si>
  <si>
    <t>Project</t>
  </si>
  <si>
    <t>% Sold</t>
  </si>
  <si>
    <t>Complaints</t>
  </si>
  <si>
    <t>Appeals</t>
  </si>
  <si>
    <t>Confidence Score</t>
  </si>
  <si>
    <t>Portfolio Visuals</t>
  </si>
  <si>
    <t>Project Name</t>
  </si>
  <si>
    <t>RERA Reg. No.</t>
  </si>
  <si>
    <t>Promoter / Developer</t>
  </si>
  <si>
    <t>Location</t>
  </si>
  <si>
    <t>District</t>
  </si>
  <si>
    <t>Project Status</t>
  </si>
  <si>
    <t>Original Completion</t>
  </si>
  <si>
    <t>Current Completion</t>
  </si>
  <si>
    <t>Delayed?</t>
  </si>
  <si>
    <t>Land Area (sqm)</t>
  </si>
  <si>
    <t>Total Units</t>
  </si>
  <si>
    <t>Units Sold</t>
  </si>
  <si>
    <t>Land Title Status</t>
  </si>
  <si>
    <t>Project Avg Price/sqft (Rs)</t>
  </si>
  <si>
    <t>Locality Avg Price/sqft (Rs)</t>
  </si>
  <si>
    <t>Implied FSI</t>
  </si>
  <si>
    <t>IBBI Insolvency Status</t>
  </si>
  <si>
    <t>Credit Rating Found</t>
  </si>
  <si>
    <t>Documentation Confidence (0-100)</t>
  </si>
  <si>
    <t>Confidence Band</t>
  </si>
  <si>
    <t>Open Gaps</t>
  </si>
  <si>
    <t>Key Risk Flag</t>
  </si>
  <si>
    <t>Data As-Of</t>
  </si>
  <si>
    <t>Godrej Park Greens</t>
  </si>
  <si>
    <t>P52100019639</t>
  </si>
  <si>
    <t>Godrej Skyline Developers Limited</t>
  </si>
  <si>
    <t>Mamurdi (PCMC)</t>
  </si>
  <si>
    <t>Pune</t>
  </si>
  <si>
    <t>Certificate Signed / New</t>
  </si>
  <si>
    <t>2024-03-30</t>
  </si>
  <si>
    <t>2028-03-30</t>
  </si>
  <si>
    <t>Yes</t>
  </si>
  <si>
    <t>Clear (no title litigation)</t>
  </si>
  <si>
    <t>Not confirmed (BUA gap)</t>
  </si>
  <si>
    <t>Clean (no process)</t>
  </si>
  <si>
    <t>No</t>
  </si>
  <si>
    <t>Moderate</t>
  </si>
  <si>
    <t>High complaint/appeal volume (67/18); completion extended twice; FSI/BUA not confirmed</t>
  </si>
  <si>
    <t>2026-07-27</t>
  </si>
  <si>
    <t>IRA Insignia</t>
  </si>
  <si>
    <t>P51700031409</t>
  </si>
  <si>
    <t>IRA Homes</t>
  </si>
  <si>
    <t>Bhopar, Dombivli East</t>
  </si>
  <si>
    <t>Thane</t>
  </si>
  <si>
    <t>2026-12-31</t>
  </si>
  <si>
    <t>Clear</t>
  </si>
  <si>
    <t>Not listed (aggregators cite ~Rs 55L+ for 1-3BHK)</t>
  </si>
  <si>
    <t>6,839-10,800 (range)</t>
  </si>
  <si>
    <t>Not checked this pass</t>
  </si>
  <si>
    <t>Limited</t>
  </si>
  <si>
    <t>Only 0.3% sold with completion due in &lt;1 year -- very low sales velocity</t>
  </si>
  <si>
    <t>2026-07-23</t>
  </si>
  <si>
    <t>Pranami Bliss</t>
  </si>
  <si>
    <t>P51800077150</t>
  </si>
  <si>
    <t>Pranami Neev Realty Limited</t>
  </si>
  <si>
    <t>Azad Nagar-3, Andheri (West)</t>
  </si>
  <si>
    <t>Mumbai Suburban</t>
  </si>
  <si>
    <t>2027-04-15</t>
  </si>
  <si>
    <t>Clear (unrelated neighbouring Lis Pendens disclosed)</t>
  </si>
  <si>
    <t>Not listed</t>
  </si>
  <si>
    <t>28,300-37,050 (range)</t>
  </si>
  <si>
    <t>Promoter has one unrated, privately-placed bond (Rs 20cr, 15% coupon) outstanding</t>
  </si>
  <si>
    <t>2026-07-21</t>
  </si>
  <si>
    <t>Project 252</t>
  </si>
  <si>
    <t>NOT REGISTERED</t>
  </si>
  <si>
    <t>Watertight Developers Private Limited</t>
  </si>
  <si>
    <t>Unknown</t>
  </si>
  <si>
    <t>No MahaRERA registration exists</t>
  </si>
  <si>
    <t>N/A</t>
  </si>
  <si>
    <t>Not found</t>
  </si>
  <si>
    <t>N/A -- no registration</t>
  </si>
  <si>
    <t>Watertight itself clean; affiliated flagship entity (India Homes Ltd) has an active NCLT/NCLAT history</t>
  </si>
  <si>
    <t>NOT RERA REGISTERED -- no public project record; promoter family's listed flagship entity has NCLT/insolvency history</t>
  </si>
  <si>
    <t>2026-07-24</t>
  </si>
  <si>
    <t>Stellar</t>
  </si>
  <si>
    <t>P51700048590</t>
  </si>
  <si>
    <t>Trimity Realty LLP</t>
  </si>
  <si>
    <t>Panchpakhadi, Thane (W)</t>
  </si>
  <si>
    <t>2027-12-31</t>
  </si>
  <si>
    <t>2029-06-30</t>
  </si>
  <si>
    <t>Clear (Nil litigations per Title Report)</t>
  </si>
  <si>
    <t>19,000-26,000 (range)</t>
  </si>
  <si>
    <t>Clean (checked via affiliate CIN)</t>
  </si>
  <si>
    <t>Completion extended ~18 months; only 9.9% sold</t>
  </si>
  <si>
    <t>Source: individual project .facts.json files behind each Company Charter (MahaRERA live record, MCA/ZaubaCorp mirrors, IBBI, 99acres/Square Yards/NoBroker). See 'Notes &amp; Sources' tab.</t>
  </si>
  <si>
    <t>Notes, Methodology &amp; Sources</t>
  </si>
  <si>
    <t>What this workbook is</t>
  </si>
  <si>
    <t>Each row on the Master Tracker tab summarizes the executive-level facts already researched and verified for that project's Company Charter (docx). This sheet does not re-research anything — every figure traces back to that project's underlying .facts.json file, which itself cites MahaRERA's live project record, MCA/ZaubaCorp corporate mirrors, IBBI, and public listing aggregators (99acres, Square Yards, NoBroker, etc.).</t>
  </si>
  <si>
    <t>Projects covered</t>
  </si>
  <si>
    <t>Godrej Park Greens (P52100019639), IRA Insignia (P51700031409), Pranami Bliss (P51800077150), Project 252 (no MahaRERA registration found), Stellar (P51700048590).</t>
  </si>
  <si>
    <t>Calculated with a live formula (Units Sold / Total Units) on the Master Tracker tab, so it recalculates if the underlying counts change. Shows 'N/A' where either figure is not a confirmed number (e.g. Project 252, which has no registration).</t>
  </si>
  <si>
    <t>Project Avg Price/sqft vs Locality Avg Price/sqft</t>
  </si>
  <si>
    <t>Project-level Rs/sqft is only available where an aggregator independently listed and priced the subject project itself (Godrej Park Greens). Where the subject project had no independently-priced listing this pass (IRA Insignia, Pranami Bliss, Stellar), the field is marked 'Not listed' and the locality range is shown instead as directional context, not a project-specific number.</t>
  </si>
  <si>
    <t>Marked 'Not confirmed' for every RERA-registered project in this set — the approved/sanctioned Built-Up Area (BUA) figure needed to compute FSI was not extractable from the MahaRERA documents opened during each charter's research pass. This is flagged as an open gap in every underlying facts.json, not silently omitted.</t>
  </si>
  <si>
    <t>Documentation Confidence Score</t>
  </si>
  <si>
    <t>A 0-100 composite score computed per-project during charter research, weighting source-tier quality, cross-corroboration, verification rate, and recency. Bands: High (70+), Moderate (45-69), Limited (&lt;45). This measures how well-evidenced the charter's own facts are — it is not a measure of the project's or promoter's quality.</t>
  </si>
  <si>
    <t>Checked against the promoter entity's own CIN/LLPIN where available; for Project 252, checked separately against the promoter family's affiliated flagship listed entity (India Homes Limited), which does carry an active NCLT/NCLAT history — this is explicitly NOT the same legal entity as Watertight Developers Private Limited, the actual promoter of Project 252 itself.</t>
  </si>
  <si>
    <t>A short, human-curated flag per project pulling out the single most decision-relevant risk signal found in that project's charter (e.g. sales velocity, completion delay, complaint volume, unrated debt, missing registration). It is not exhaustive — see each project's own Company Charter document (and its Gaps &amp; Limitations section) for the full picture.</t>
  </si>
  <si>
    <t>The date each project's MahaRERA live record / registry cross-checks were last retrieved, per that project's facts.json.</t>
  </si>
  <si>
    <t>Full detail</t>
  </si>
  <si>
    <t>For the complete due-diligence narrative behind any row — land title chain, corporate directors, distances, comparables, complaint-by-complaint outcomes, and the full list of research gaps — open that project's Company Charter .docx in the same output folder.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</si>
</sst>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charset val="1"/>
    </font>
    <font>
      <b/>
      <sz val="20"/>
      <color rgb="FFFFFFFF"/>
      <name val="Arial"/>
      <charset val="1"/>
    </font>
    <font>
      <i/>
      <sz val="11"/>
      <color rgb="FFD9E2F3"/>
      <name val="Arial"/>
      <charset val="1"/>
    </font>
    <font>
      <b/>
      <sz val="10"/>
      <color rgb="FF606060"/>
      <name val="Arial"/>
      <charset val="1"/>
    </font>
    <font>
      <b/>
      <sz val="22"/>
      <color rgb="FF1F3864"/>
      <name val="Arial"/>
      <charset val="1"/>
    </font>
    <font>
      <i/>
      <sz val="9"/>
      <color rgb="FF606060"/>
      <name val="Arial"/>
      <charset val="1"/>
    </font>
    <font>
      <b/>
      <sz val="13"/>
      <color rgb="FF1F3864"/>
      <name val="Arial"/>
      <charset val="1"/>
    </font>
    <font>
      <b/>
      <sz val="10"/>
      <color rgb="FFFFFFFF"/>
      <name val="Arial"/>
      <charset val="1"/>
    </font>
    <font>
      <sz val="10"/>
      <name val="Arial"/>
      <charset val="1"/>
    </font>
    <font>
      <b/>
      <sz val="14"/>
      <color rgb="FF1F3864"/>
      <name val="Arial"/>
      <charset val="1"/>
    </font>
    <font>
      <b/>
      <sz val="10"/>
      <color rgb="FF1F3864"/>
      <name val="Arial"/>
      <charset val="1"/>
    </font>
  </fonts>
  <fills count="4">
    <fill>
      <patternFill patternType="none"/>
    </fill>
    <fill>
      <patternFill patternType="gray125"/>
    </fill>
    <fill>
      <patternFill patternType="solid">
        <fgColor rgb="FF1F3864"/>
        <bgColor rgb="FF333333"/>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8" fillId="0" borderId="0" xfId="0" applyFont="1" applyAlignment="1">
      <alignment vertical="top" wrapText="1"/>
    </xf>
    <xf numFmtId="0" fontId="9" fillId="0" borderId="0" xfId="0" applyFont="1"/>
    <xf numFmtId="0" fontId="5" fillId="0" borderId="0" xfId="0" applyFont="1"/>
    <xf numFmtId="0" fontId="4"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2" fillId="2" borderId="0" xfId="0" applyFont="1" applyFill="1" applyAlignment="1">
      <alignment horizontal="left" vertical="center" indent="1"/>
    </xf>
    <xf numFmtId="0" fontId="1" fillId="2" borderId="0" xfId="0" applyFont="1" applyFill="1" applyAlignment="1">
      <alignment horizontal="left" vertical="center" indent="1"/>
    </xf>
    <xf numFmtId="0" fontId="5" fillId="0" borderId="0" xfId="0" applyFont="1"/>
    <xf numFmtId="0" fontId="3" fillId="0" borderId="0" xfId="0" applyFont="1"/>
    <xf numFmtId="164" fontId="0" fillId="0" borderId="0" xfId="0" applyNumberFormat="1"/>
    <xf numFmtId="0" fontId="6" fillId="0" borderId="0" xfId="0" applyFont="1"/>
    <xf numFmtId="0" fontId="7" fillId="2" borderId="1" xfId="0" applyFont="1" applyFill="1" applyBorder="1" applyAlignment="1">
      <alignment horizontal="center" vertical="center" wrapText="1"/>
    </xf>
    <xf numFmtId="0" fontId="8" fillId="0" borderId="1" xfId="0" applyFont="1" applyBorder="1" applyAlignment="1">
      <alignment vertical="center" wrapText="1"/>
    </xf>
    <xf numFmtId="164" fontId="8" fillId="0" borderId="1" xfId="0" applyNumberFormat="1" applyFont="1" applyBorder="1" applyAlignment="1">
      <alignment vertical="center" wrapText="1"/>
    </xf>
    <xf numFmtId="0" fontId="10" fillId="0" borderId="0" xfId="0" applyFont="1" applyAlignment="1">
      <alignment vertical="top" wrapText="1"/>
    </xf>
  </cellXfs>
  <cellStyles count="1">
    <cellStyle name="Normal" xfId="0" builtinId="0"/>
  </cellStyles>
  <dxfs count="13">
    <dxf>
      <fill>
        <patternFill>
          <bgColor rgb="FFC6E0B4"/>
        </patternFill>
      </fill>
    </dxf>
    <dxf>
      <fill>
        <patternFill>
          <bgColor rgb="FFFFE699"/>
        </patternFill>
      </fill>
    </dxf>
    <dxf>
      <fill>
        <patternFill>
          <bgColor rgb="FFF8CBAD"/>
        </patternFill>
      </fill>
    </dxf>
    <dxf>
      <fill>
        <patternFill>
          <bgColor rgb="FFFFE699"/>
        </patternFill>
      </fill>
    </dxf>
    <dxf>
      <fill>
        <patternFill>
          <bgColor rgb="FFF8CBAD"/>
        </patternFill>
      </fill>
    </dxf>
    <dxf>
      <fill>
        <patternFill>
          <bgColor rgb="FFC6E0B4"/>
        </patternFill>
      </fill>
    </dxf>
    <dxf>
      <fill>
        <patternFill>
          <bgColor rgb="FFFFE699"/>
        </patternFill>
      </fill>
    </dxf>
    <dxf>
      <fill>
        <patternFill>
          <bgColor rgb="FFF8CBAD"/>
        </patternFill>
      </fill>
    </dxf>
    <dxf>
      <fill>
        <patternFill>
          <bgColor rgb="FFC6E0B4"/>
        </patternFill>
      </fill>
    </dxf>
    <dxf>
      <fill>
        <patternFill>
          <bgColor rgb="FFFFE699"/>
        </patternFill>
      </fill>
    </dxf>
    <dxf>
      <fill>
        <patternFill>
          <bgColor rgb="FFF8CBAD"/>
        </patternFill>
      </fill>
    </dxf>
    <dxf>
      <fill>
        <patternFill>
          <bgColor rgb="FFC6E0B4"/>
        </patternFill>
      </fill>
    </dxf>
    <dxf>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2F2F2"/>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2E75B6"/>
      <rgbColor rgb="FF33CCCC"/>
      <rgbColor rgb="FF99CC00"/>
      <rgbColor rgb="FFFFCC00"/>
      <rgbColor rgb="FFFF9900"/>
      <rgbColor rgb="FFED7D31"/>
      <rgbColor rgb="FF606060"/>
      <rgbColor rgb="FF70AD47"/>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IN" sz="1800" b="1" u="none" strike="noStrike">
                <a:solidFill>
                  <a:srgbClr val="000000"/>
                </a:solidFill>
                <a:uFillTx/>
                <a:latin typeface="Calibri"/>
              </a:rPr>
              <a:t>Units Sold (%) by Project</a:t>
            </a:r>
          </a:p>
        </c:rich>
      </c:tx>
      <c:overlay val="0"/>
      <c:spPr>
        <a:noFill/>
        <a:ln w="0">
          <a:noFill/>
        </a:ln>
      </c:spPr>
    </c:title>
    <c:autoTitleDeleted val="0"/>
    <c:plotArea>
      <c:layout/>
      <c:barChart>
        <c:barDir val="col"/>
        <c:grouping val="clustered"/>
        <c:varyColors val="0"/>
        <c:ser>
          <c:idx val="0"/>
          <c:order val="0"/>
          <c:tx>
            <c:strRef>
              <c:f>Dashboard!$B$11</c:f>
              <c:strCache>
                <c:ptCount val="1"/>
                <c:pt idx="0">
                  <c:v>% Sold</c:v>
                </c:pt>
              </c:strCache>
            </c:strRef>
          </c:tx>
          <c:spPr>
            <a:solidFill>
              <a:srgbClr val="2E75B6"/>
            </a:solidFill>
            <a:ln w="1260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Dashboard!$A$12:$A$16</c:f>
              <c:strCache>
                <c:ptCount val="5"/>
                <c:pt idx="0">
                  <c:v>Godrej Park Greens</c:v>
                </c:pt>
                <c:pt idx="1">
                  <c:v>IRA Insignia</c:v>
                </c:pt>
                <c:pt idx="2">
                  <c:v>Pranami Bliss</c:v>
                </c:pt>
                <c:pt idx="3">
                  <c:v>Project 252</c:v>
                </c:pt>
                <c:pt idx="4">
                  <c:v>Portfolio Visuals</c:v>
                </c:pt>
              </c:strCache>
            </c:strRef>
          </c:cat>
          <c:val>
            <c:numRef>
              <c:f>Dashboard!$B$12:$B$16</c:f>
              <c:numCache>
                <c:formatCode>0.0%</c:formatCode>
                <c:ptCount val="5"/>
                <c:pt idx="0">
                  <c:v>0.98595041322314048</c:v>
                </c:pt>
                <c:pt idx="1">
                  <c:v>2.9585798816568047E-3</c:v>
                </c:pt>
                <c:pt idx="2">
                  <c:v>0.63247863247863245</c:v>
                </c:pt>
                <c:pt idx="3">
                  <c:v>0</c:v>
                </c:pt>
                <c:pt idx="4">
                  <c:v>9.880239520958084E-2</c:v>
                </c:pt>
              </c:numCache>
            </c:numRef>
          </c:val>
          <c:extLst>
            <c:ext xmlns:c16="http://schemas.microsoft.com/office/drawing/2014/chart" uri="{C3380CC4-5D6E-409C-BE32-E72D297353CC}">
              <c16:uniqueId val="{00000000-A975-430D-973D-DDDDACB80E0A}"/>
            </c:ext>
          </c:extLst>
        </c:ser>
        <c:dLbls>
          <c:showLegendKey val="0"/>
          <c:showVal val="0"/>
          <c:showCatName val="0"/>
          <c:showSerName val="0"/>
          <c:showPercent val="0"/>
          <c:showBubbleSize val="0"/>
        </c:dLbls>
        <c:gapWidth val="150"/>
        <c:axId val="80059021"/>
        <c:axId val="2344639"/>
      </c:barChart>
      <c:catAx>
        <c:axId val="80059021"/>
        <c:scaling>
          <c:orientation val="minMax"/>
        </c:scaling>
        <c:delete val="0"/>
        <c:axPos val="b"/>
        <c:title>
          <c:tx>
            <c:rich>
              <a:bodyPr rot="0"/>
              <a:lstStyle/>
              <a:p>
                <a:pPr>
                  <a:defRPr sz="1300" b="0" u="none" strike="noStrike">
                    <a:uFillTx/>
                    <a:latin typeface="Arial"/>
                  </a:defRPr>
                </a:pPr>
                <a:r>
                  <a:rPr lang="en-IN" sz="1000" b="1" u="none" strike="noStrike">
                    <a:solidFill>
                      <a:srgbClr val="000000"/>
                    </a:solidFill>
                    <a:uFillTx/>
                    <a:latin typeface="Calibri"/>
                  </a:rPr>
                  <a:t>Project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2344639"/>
        <c:crosses val="autoZero"/>
        <c:auto val="1"/>
        <c:lblAlgn val="ctr"/>
        <c:lblOffset val="100"/>
        <c:noMultiLvlLbl val="0"/>
      </c:catAx>
      <c:valAx>
        <c:axId val="2344639"/>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IN" sz="1000" b="1" u="none" strike="noStrike">
                    <a:solidFill>
                      <a:srgbClr val="000000"/>
                    </a:solidFill>
                    <a:uFillTx/>
                    <a:latin typeface="Calibri"/>
                  </a:rPr>
                  <a:t>% Sold</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80059021"/>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IN" sz="1800" b="1" u="none" strike="noStrike">
                <a:solidFill>
                  <a:srgbClr val="000000"/>
                </a:solidFill>
                <a:uFillTx/>
                <a:latin typeface="Calibri"/>
              </a:rPr>
              <a:t>Complaints by Project</a:t>
            </a:r>
          </a:p>
        </c:rich>
      </c:tx>
      <c:overlay val="0"/>
      <c:spPr>
        <a:noFill/>
        <a:ln w="0">
          <a:noFill/>
        </a:ln>
      </c:spPr>
    </c:title>
    <c:autoTitleDeleted val="0"/>
    <c:plotArea>
      <c:layout/>
      <c:barChart>
        <c:barDir val="col"/>
        <c:grouping val="clustered"/>
        <c:varyColors val="0"/>
        <c:ser>
          <c:idx val="0"/>
          <c:order val="0"/>
          <c:tx>
            <c:strRef>
              <c:f>Dashboard!$C$11</c:f>
              <c:strCache>
                <c:ptCount val="1"/>
                <c:pt idx="0">
                  <c:v>Complaints</c:v>
                </c:pt>
              </c:strCache>
            </c:strRef>
          </c:tx>
          <c:spPr>
            <a:solidFill>
              <a:srgbClr val="C00000"/>
            </a:solidFill>
            <a:ln w="1260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Dashboard!$A$12:$A$16</c:f>
              <c:strCache>
                <c:ptCount val="5"/>
                <c:pt idx="0">
                  <c:v>Godrej Park Greens</c:v>
                </c:pt>
                <c:pt idx="1">
                  <c:v>IRA Insignia</c:v>
                </c:pt>
                <c:pt idx="2">
                  <c:v>Pranami Bliss</c:v>
                </c:pt>
                <c:pt idx="3">
                  <c:v>Project 252</c:v>
                </c:pt>
                <c:pt idx="4">
                  <c:v>Portfolio Visuals</c:v>
                </c:pt>
              </c:strCache>
            </c:strRef>
          </c:cat>
          <c:val>
            <c:numRef>
              <c:f>Dashboard!$C$12:$C$16</c:f>
              <c:numCache>
                <c:formatCode>General</c:formatCode>
                <c:ptCount val="5"/>
                <c:pt idx="0">
                  <c:v>67</c:v>
                </c:pt>
                <c:pt idx="1">
                  <c:v>3</c:v>
                </c:pt>
                <c:pt idx="2">
                  <c:v>0</c:v>
                </c:pt>
                <c:pt idx="3">
                  <c:v>0</c:v>
                </c:pt>
                <c:pt idx="4">
                  <c:v>0</c:v>
                </c:pt>
              </c:numCache>
            </c:numRef>
          </c:val>
          <c:extLst>
            <c:ext xmlns:c16="http://schemas.microsoft.com/office/drawing/2014/chart" uri="{C3380CC4-5D6E-409C-BE32-E72D297353CC}">
              <c16:uniqueId val="{00000000-AF73-497E-AFD9-93E58E4024E8}"/>
            </c:ext>
          </c:extLst>
        </c:ser>
        <c:dLbls>
          <c:showLegendKey val="0"/>
          <c:showVal val="0"/>
          <c:showCatName val="0"/>
          <c:showSerName val="0"/>
          <c:showPercent val="0"/>
          <c:showBubbleSize val="0"/>
        </c:dLbls>
        <c:gapWidth val="150"/>
        <c:axId val="31448770"/>
        <c:axId val="18159490"/>
      </c:barChart>
      <c:catAx>
        <c:axId val="31448770"/>
        <c:scaling>
          <c:orientation val="minMax"/>
        </c:scaling>
        <c:delete val="0"/>
        <c:axPos val="b"/>
        <c:title>
          <c:tx>
            <c:rich>
              <a:bodyPr rot="0"/>
              <a:lstStyle/>
              <a:p>
                <a:pPr>
                  <a:defRPr sz="1300" b="0" u="none" strike="noStrike">
                    <a:uFillTx/>
                    <a:latin typeface="Arial"/>
                  </a:defRPr>
                </a:pPr>
                <a:r>
                  <a:rPr lang="en-IN" sz="1000" b="1" u="none" strike="noStrike">
                    <a:solidFill>
                      <a:srgbClr val="000000"/>
                    </a:solidFill>
                    <a:uFillTx/>
                    <a:latin typeface="Calibri"/>
                  </a:rPr>
                  <a:t>Project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18159490"/>
        <c:crosses val="autoZero"/>
        <c:auto val="1"/>
        <c:lblAlgn val="ctr"/>
        <c:lblOffset val="100"/>
        <c:noMultiLvlLbl val="0"/>
      </c:catAx>
      <c:valAx>
        <c:axId val="18159490"/>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IN" sz="1000" b="1" u="none" strike="noStrike">
                    <a:solidFill>
                      <a:srgbClr val="000000"/>
                    </a:solidFill>
                    <a:uFillTx/>
                    <a:latin typeface="Calibri"/>
                  </a:rPr>
                  <a:t>Complaints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3144877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Appeals by Project</a:t>
            </a:r>
          </a:p>
        </c:rich>
      </c:tx>
      <c:overlay val="0"/>
      <c:spPr>
        <a:noFill/>
        <a:ln w="0">
          <a:noFill/>
        </a:ln>
      </c:spPr>
    </c:title>
    <c:autoTitleDeleted val="0"/>
    <c:plotArea>
      <c:layout/>
      <c:barChart>
        <c:barDir val="col"/>
        <c:grouping val="clustered"/>
        <c:varyColors val="0"/>
        <c:ser>
          <c:idx val="0"/>
          <c:order val="0"/>
          <c:tx>
            <c:strRef>
              <c:f>Dashboard!$D$11</c:f>
              <c:strCache>
                <c:ptCount val="1"/>
                <c:pt idx="0">
                  <c:v>Appeals</c:v>
                </c:pt>
              </c:strCache>
            </c:strRef>
          </c:tx>
          <c:spPr>
            <a:solidFill>
              <a:srgbClr val="ED7D31"/>
            </a:solidFill>
            <a:ln w="1260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Dashboard!$A$12:$A$16</c:f>
              <c:strCache>
                <c:ptCount val="5"/>
                <c:pt idx="0">
                  <c:v>Godrej Park Greens</c:v>
                </c:pt>
                <c:pt idx="1">
                  <c:v>IRA Insignia</c:v>
                </c:pt>
                <c:pt idx="2">
                  <c:v>Pranami Bliss</c:v>
                </c:pt>
                <c:pt idx="3">
                  <c:v>Project 252</c:v>
                </c:pt>
                <c:pt idx="4">
                  <c:v>Portfolio Visuals</c:v>
                </c:pt>
              </c:strCache>
            </c:strRef>
          </c:cat>
          <c:val>
            <c:numRef>
              <c:f>Dashboard!$D$12:$D$16</c:f>
              <c:numCache>
                <c:formatCode>General</c:formatCode>
                <c:ptCount val="5"/>
                <c:pt idx="0">
                  <c:v>18</c:v>
                </c:pt>
                <c:pt idx="1">
                  <c:v>0</c:v>
                </c:pt>
                <c:pt idx="2">
                  <c:v>0</c:v>
                </c:pt>
                <c:pt idx="3">
                  <c:v>0</c:v>
                </c:pt>
                <c:pt idx="4">
                  <c:v>0</c:v>
                </c:pt>
              </c:numCache>
            </c:numRef>
          </c:val>
          <c:extLst>
            <c:ext xmlns:c16="http://schemas.microsoft.com/office/drawing/2014/chart" uri="{C3380CC4-5D6E-409C-BE32-E72D297353CC}">
              <c16:uniqueId val="{00000000-E89F-44D5-98D8-C53BFD71450D}"/>
            </c:ext>
          </c:extLst>
        </c:ser>
        <c:dLbls>
          <c:showLegendKey val="0"/>
          <c:showVal val="0"/>
          <c:showCatName val="0"/>
          <c:showSerName val="0"/>
          <c:showPercent val="0"/>
          <c:showBubbleSize val="0"/>
        </c:dLbls>
        <c:gapWidth val="150"/>
        <c:axId val="9376292"/>
        <c:axId val="74481095"/>
      </c:barChart>
      <c:catAx>
        <c:axId val="9376292"/>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Project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4481095"/>
        <c:crosses val="autoZero"/>
        <c:auto val="1"/>
        <c:lblAlgn val="ctr"/>
        <c:lblOffset val="100"/>
        <c:noMultiLvlLbl val="0"/>
      </c:catAx>
      <c:valAx>
        <c:axId val="7448109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Appeals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937629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Documentation Confidence Score by Project</a:t>
            </a:r>
          </a:p>
        </c:rich>
      </c:tx>
      <c:overlay val="0"/>
      <c:spPr>
        <a:noFill/>
        <a:ln w="0">
          <a:noFill/>
        </a:ln>
      </c:spPr>
    </c:title>
    <c:autoTitleDeleted val="0"/>
    <c:plotArea>
      <c:layout/>
      <c:barChart>
        <c:barDir val="col"/>
        <c:grouping val="clustered"/>
        <c:varyColors val="0"/>
        <c:ser>
          <c:idx val="0"/>
          <c:order val="0"/>
          <c:tx>
            <c:strRef>
              <c:f>Dashboard!$E$11</c:f>
              <c:strCache>
                <c:ptCount val="1"/>
                <c:pt idx="0">
                  <c:v>Confidence Score</c:v>
                </c:pt>
              </c:strCache>
            </c:strRef>
          </c:tx>
          <c:spPr>
            <a:solidFill>
              <a:srgbClr val="70AD47"/>
            </a:solidFill>
            <a:ln w="1260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Dashboard!$A$12:$A$16</c:f>
              <c:strCache>
                <c:ptCount val="5"/>
                <c:pt idx="0">
                  <c:v>Godrej Park Greens</c:v>
                </c:pt>
                <c:pt idx="1">
                  <c:v>IRA Insignia</c:v>
                </c:pt>
                <c:pt idx="2">
                  <c:v>Pranami Bliss</c:v>
                </c:pt>
                <c:pt idx="3">
                  <c:v>Project 252</c:v>
                </c:pt>
                <c:pt idx="4">
                  <c:v>Portfolio Visuals</c:v>
                </c:pt>
              </c:strCache>
            </c:strRef>
          </c:cat>
          <c:val>
            <c:numRef>
              <c:f>Dashboard!$E$12:$E$16</c:f>
              <c:numCache>
                <c:formatCode>General</c:formatCode>
                <c:ptCount val="5"/>
                <c:pt idx="0">
                  <c:v>56.2</c:v>
                </c:pt>
                <c:pt idx="1">
                  <c:v>43.3</c:v>
                </c:pt>
                <c:pt idx="2">
                  <c:v>49</c:v>
                </c:pt>
                <c:pt idx="3">
                  <c:v>56.8</c:v>
                </c:pt>
                <c:pt idx="4">
                  <c:v>47.5</c:v>
                </c:pt>
              </c:numCache>
            </c:numRef>
          </c:val>
          <c:extLst>
            <c:ext xmlns:c16="http://schemas.microsoft.com/office/drawing/2014/chart" uri="{C3380CC4-5D6E-409C-BE32-E72D297353CC}">
              <c16:uniqueId val="{00000000-074E-4259-92E5-B5213CF84326}"/>
            </c:ext>
          </c:extLst>
        </c:ser>
        <c:dLbls>
          <c:showLegendKey val="0"/>
          <c:showVal val="0"/>
          <c:showCatName val="0"/>
          <c:showSerName val="0"/>
          <c:showPercent val="0"/>
          <c:showBubbleSize val="0"/>
        </c:dLbls>
        <c:gapWidth val="150"/>
        <c:axId val="89827438"/>
        <c:axId val="97320301"/>
      </c:barChart>
      <c:catAx>
        <c:axId val="89827438"/>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Project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97320301"/>
        <c:crosses val="autoZero"/>
        <c:auto val="1"/>
        <c:lblAlgn val="ctr"/>
        <c:lblOffset val="100"/>
        <c:noMultiLvlLbl val="0"/>
      </c:catAx>
      <c:valAx>
        <c:axId val="97320301"/>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Score (0-100)</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8982743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4</xdr:col>
      <xdr:colOff>751020</xdr:colOff>
      <xdr:row>31</xdr:row>
      <xdr:rowOff>32040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17</xdr:row>
      <xdr:rowOff>0</xdr:rowOff>
    </xdr:from>
    <xdr:to>
      <xdr:col>15</xdr:col>
      <xdr:colOff>48239</xdr:colOff>
      <xdr:row>31</xdr:row>
      <xdr:rowOff>32040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33</xdr:row>
      <xdr:rowOff>0</xdr:rowOff>
    </xdr:from>
    <xdr:to>
      <xdr:col>4</xdr:col>
      <xdr:colOff>751020</xdr:colOff>
      <xdr:row>47</xdr:row>
      <xdr:rowOff>32400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33</xdr:row>
      <xdr:rowOff>0</xdr:rowOff>
    </xdr:from>
    <xdr:to>
      <xdr:col>15</xdr:col>
      <xdr:colOff>48239</xdr:colOff>
      <xdr:row>47</xdr:row>
      <xdr:rowOff>32400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tabSelected="1" zoomScaleNormal="100" workbookViewId="0">
      <selection sqref="A1:L2"/>
    </sheetView>
  </sheetViews>
  <sheetFormatPr defaultColWidth="8.6640625" defaultRowHeight="14.25" x14ac:dyDescent="0.45"/>
  <cols>
    <col min="1" max="1" width="38.1328125" bestFit="1" customWidth="1"/>
    <col min="2" max="12" width="11" customWidth="1"/>
  </cols>
  <sheetData>
    <row r="1" spans="1:12" ht="15" customHeight="1" x14ac:dyDescent="0.45">
      <c r="A1" s="7" t="s">
        <v>0</v>
      </c>
      <c r="B1" s="7"/>
      <c r="C1" s="7"/>
      <c r="D1" s="7"/>
      <c r="E1" s="7"/>
      <c r="F1" s="7"/>
      <c r="G1" s="7"/>
      <c r="H1" s="7"/>
      <c r="I1" s="7"/>
      <c r="J1" s="7"/>
      <c r="K1" s="7"/>
      <c r="L1" s="7"/>
    </row>
    <row r="2" spans="1:12" ht="15" customHeight="1" x14ac:dyDescent="0.45">
      <c r="A2" s="7"/>
      <c r="B2" s="7"/>
      <c r="C2" s="7"/>
      <c r="D2" s="7"/>
      <c r="E2" s="7"/>
      <c r="F2" s="7"/>
      <c r="G2" s="7"/>
      <c r="H2" s="7"/>
      <c r="I2" s="7"/>
      <c r="J2" s="7"/>
      <c r="K2" s="7"/>
      <c r="L2" s="7"/>
    </row>
    <row r="3" spans="1:12" ht="18" customHeight="1" x14ac:dyDescent="0.45">
      <c r="A3" s="6" t="s">
        <v>1</v>
      </c>
      <c r="B3" s="6"/>
      <c r="C3" s="6"/>
      <c r="D3" s="6"/>
      <c r="E3" s="6"/>
      <c r="F3" s="6"/>
      <c r="G3" s="6"/>
      <c r="H3" s="6"/>
      <c r="I3" s="6"/>
      <c r="J3" s="6"/>
      <c r="K3" s="6"/>
      <c r="L3" s="6"/>
    </row>
    <row r="5" spans="1:12" ht="19.5" customHeight="1" x14ac:dyDescent="0.45">
      <c r="A5" s="5" t="s">
        <v>2</v>
      </c>
      <c r="B5" s="5"/>
      <c r="C5" s="5" t="s">
        <v>3</v>
      </c>
      <c r="D5" s="5"/>
      <c r="E5" s="5" t="s">
        <v>4</v>
      </c>
      <c r="F5" s="5"/>
      <c r="G5" s="5" t="s">
        <v>5</v>
      </c>
      <c r="H5" s="5"/>
      <c r="I5" s="5" t="s">
        <v>6</v>
      </c>
      <c r="J5" s="5"/>
      <c r="K5" s="5" t="s">
        <v>7</v>
      </c>
      <c r="L5" s="5"/>
    </row>
    <row r="6" spans="1:12" ht="25.5" customHeight="1" x14ac:dyDescent="0.45">
      <c r="A6" s="4">
        <f>COUNTA('Master Tracker'!A2:A6)</f>
        <v>5</v>
      </c>
      <c r="B6" s="4"/>
      <c r="C6" s="4">
        <f>SUM('Master Tracker'!K2:K6)</f>
        <v>2450</v>
      </c>
      <c r="D6" s="4"/>
      <c r="E6" s="4">
        <f>SUM('Master Tracker'!L2:L6)</f>
        <v>1408</v>
      </c>
      <c r="F6" s="4"/>
      <c r="G6" s="4">
        <f>SUM(C12:C16)</f>
        <v>70</v>
      </c>
      <c r="H6" s="4"/>
      <c r="I6" s="4">
        <f>SUM(D12:D16)</f>
        <v>18</v>
      </c>
      <c r="J6" s="4"/>
      <c r="K6" s="4">
        <f>COUNTIF('Master Tracker'!I2:I6,"Yes")</f>
        <v>2</v>
      </c>
      <c r="L6" s="4"/>
    </row>
    <row r="7" spans="1:12" ht="18" customHeight="1" x14ac:dyDescent="0.45">
      <c r="A7" s="4"/>
      <c r="B7" s="4"/>
      <c r="C7" s="4"/>
      <c r="D7" s="4"/>
      <c r="E7" s="4"/>
      <c r="F7" s="4"/>
      <c r="G7" s="4"/>
      <c r="H7" s="4"/>
      <c r="I7" s="4"/>
      <c r="J7" s="4"/>
      <c r="K7" s="4"/>
      <c r="L7" s="4"/>
    </row>
    <row r="10" spans="1:12" ht="15" customHeight="1" x14ac:dyDescent="0.45">
      <c r="A10" s="8" t="s">
        <v>8</v>
      </c>
    </row>
    <row r="11" spans="1:12" ht="15" customHeight="1" x14ac:dyDescent="0.45">
      <c r="A11" s="9" t="s">
        <v>9</v>
      </c>
      <c r="B11" s="9" t="s">
        <v>10</v>
      </c>
      <c r="C11" s="9" t="s">
        <v>11</v>
      </c>
      <c r="D11" s="9" t="s">
        <v>12</v>
      </c>
      <c r="E11" s="9" t="s">
        <v>13</v>
      </c>
    </row>
    <row r="12" spans="1:12" ht="15" customHeight="1" x14ac:dyDescent="0.45">
      <c r="A12" t="str">
        <f>'Master Tracker'!A2</f>
        <v>Godrej Park Greens</v>
      </c>
      <c r="B12" s="10">
        <f>IFERROR('Master Tracker'!M2,0)</f>
        <v>0.98595041322314048</v>
      </c>
      <c r="C12">
        <f>IF(ISNUMBER('Master Tracker'!N2),'Master Tracker'!N2,0)</f>
        <v>67</v>
      </c>
      <c r="D12">
        <f>IF(ISNUMBER('Master Tracker'!O2),'Master Tracker'!O2,0)</f>
        <v>18</v>
      </c>
      <c r="E12">
        <f>'Master Tracker'!V2</f>
        <v>56.2</v>
      </c>
    </row>
    <row r="13" spans="1:12" ht="15" customHeight="1" x14ac:dyDescent="0.45">
      <c r="A13" t="str">
        <f>'Master Tracker'!A3</f>
        <v>IRA Insignia</v>
      </c>
      <c r="B13" s="10">
        <f>IFERROR('Master Tracker'!M3,0)</f>
        <v>2.9585798816568047E-3</v>
      </c>
      <c r="C13">
        <f>IF(ISNUMBER('Master Tracker'!N3),'Master Tracker'!N3,0)</f>
        <v>3</v>
      </c>
      <c r="D13">
        <f>IF(ISNUMBER('Master Tracker'!O3),'Master Tracker'!O3,0)</f>
        <v>0</v>
      </c>
      <c r="E13">
        <f>'Master Tracker'!V3</f>
        <v>43.3</v>
      </c>
    </row>
    <row r="14" spans="1:12" ht="15" customHeight="1" x14ac:dyDescent="0.45">
      <c r="A14" t="str">
        <f>'Master Tracker'!A4</f>
        <v>Pranami Bliss</v>
      </c>
      <c r="B14" s="10">
        <f>IFERROR('Master Tracker'!M4,0)</f>
        <v>0.63247863247863245</v>
      </c>
      <c r="C14">
        <f>IF(ISNUMBER('Master Tracker'!N4),'Master Tracker'!N4,0)</f>
        <v>0</v>
      </c>
      <c r="D14">
        <f>IF(ISNUMBER('Master Tracker'!O4),'Master Tracker'!O4,0)</f>
        <v>0</v>
      </c>
      <c r="E14">
        <f>'Master Tracker'!V4</f>
        <v>49</v>
      </c>
    </row>
    <row r="15" spans="1:12" ht="15" customHeight="1" x14ac:dyDescent="0.45">
      <c r="A15" t="str">
        <f>'Master Tracker'!A5</f>
        <v>Project 252</v>
      </c>
      <c r="B15" s="10" t="str">
        <f>IFERROR('Master Tracker'!M5,0)</f>
        <v>N/A</v>
      </c>
      <c r="C15">
        <f>IF(ISNUMBER('Master Tracker'!N5),'Master Tracker'!N5,0)</f>
        <v>0</v>
      </c>
      <c r="D15">
        <f>IF(ISNUMBER('Master Tracker'!O5),'Master Tracker'!O5,0)</f>
        <v>0</v>
      </c>
      <c r="E15">
        <f>'Master Tracker'!V5</f>
        <v>56.8</v>
      </c>
    </row>
    <row r="16" spans="1:12" ht="15.75" customHeight="1" x14ac:dyDescent="0.5">
      <c r="A16" s="11" t="s">
        <v>14</v>
      </c>
      <c r="B16" s="10">
        <f>IFERROR('Master Tracker'!M6,0)</f>
        <v>9.880239520958084E-2</v>
      </c>
      <c r="C16">
        <f>IF(ISNUMBER('Master Tracker'!N6),'Master Tracker'!N6,0)</f>
        <v>0</v>
      </c>
      <c r="D16">
        <f>IF(ISNUMBER('Master Tracker'!O6),'Master Tracker'!O6,0)</f>
        <v>0</v>
      </c>
      <c r="E16">
        <f>'Master Tracker'!V6</f>
        <v>47.5</v>
      </c>
    </row>
  </sheetData>
  <mergeCells count="14">
    <mergeCell ref="K6:L7"/>
    <mergeCell ref="A6:B7"/>
    <mergeCell ref="C6:D7"/>
    <mergeCell ref="E6:F7"/>
    <mergeCell ref="G6:H7"/>
    <mergeCell ref="I6:J7"/>
    <mergeCell ref="A1:L2"/>
    <mergeCell ref="A3:L3"/>
    <mergeCell ref="A5:B5"/>
    <mergeCell ref="C5:D5"/>
    <mergeCell ref="E5:F5"/>
    <mergeCell ref="G5:H5"/>
    <mergeCell ref="I5:J5"/>
    <mergeCell ref="K5:L5"/>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
  <sheetViews>
    <sheetView zoomScaleNormal="100" workbookViewId="0">
      <pane ySplit="1" topLeftCell="A2" activePane="bottomLeft" state="frozen"/>
      <selection pane="bottomLeft"/>
    </sheetView>
  </sheetViews>
  <sheetFormatPr defaultColWidth="8.6640625" defaultRowHeight="14.25" x14ac:dyDescent="0.45"/>
  <cols>
    <col min="1" max="1" width="20" customWidth="1"/>
    <col min="2" max="2" width="14" customWidth="1"/>
    <col min="3" max="3" width="26" customWidth="1"/>
    <col min="4" max="4" width="22" customWidth="1"/>
    <col min="5" max="5" width="14" customWidth="1"/>
    <col min="6" max="6" width="22" customWidth="1"/>
    <col min="7" max="8" width="14" customWidth="1"/>
    <col min="9" max="9" width="10" customWidth="1"/>
    <col min="10" max="10" width="13" customWidth="1"/>
    <col min="11" max="12" width="11" customWidth="1"/>
    <col min="13" max="13" width="9" customWidth="1"/>
    <col min="14" max="14" width="11" customWidth="1"/>
    <col min="15" max="15" width="9" customWidth="1"/>
    <col min="16" max="16" width="26" customWidth="1"/>
    <col min="17" max="17" width="18" customWidth="1"/>
    <col min="18" max="18" width="20" customWidth="1"/>
    <col min="19" max="19" width="22" customWidth="1"/>
    <col min="20" max="20" width="20" customWidth="1"/>
    <col min="21" max="21" width="14" customWidth="1"/>
    <col min="22" max="22" width="16" customWidth="1"/>
    <col min="23" max="23" width="14" customWidth="1"/>
    <col min="24" max="24" width="10" customWidth="1"/>
    <col min="25" max="25" width="40" customWidth="1"/>
    <col min="26" max="26" width="12" customWidth="1"/>
  </cols>
  <sheetData>
    <row r="1" spans="1:26" ht="33.75" customHeight="1" x14ac:dyDescent="0.45">
      <c r="A1" s="12" t="s">
        <v>15</v>
      </c>
      <c r="B1" s="12" t="s">
        <v>16</v>
      </c>
      <c r="C1" s="12" t="s">
        <v>17</v>
      </c>
      <c r="D1" s="12" t="s">
        <v>18</v>
      </c>
      <c r="E1" s="12" t="s">
        <v>19</v>
      </c>
      <c r="F1" s="12" t="s">
        <v>20</v>
      </c>
      <c r="G1" s="12" t="s">
        <v>21</v>
      </c>
      <c r="H1" s="12" t="s">
        <v>22</v>
      </c>
      <c r="I1" s="12" t="s">
        <v>23</v>
      </c>
      <c r="J1" s="12" t="s">
        <v>24</v>
      </c>
      <c r="K1" s="12" t="s">
        <v>25</v>
      </c>
      <c r="L1" s="12" t="s">
        <v>26</v>
      </c>
      <c r="M1" s="12" t="s">
        <v>10</v>
      </c>
      <c r="N1" s="12" t="s">
        <v>11</v>
      </c>
      <c r="O1" s="12" t="s">
        <v>12</v>
      </c>
      <c r="P1" s="12" t="s">
        <v>27</v>
      </c>
      <c r="Q1" s="12" t="s">
        <v>28</v>
      </c>
      <c r="R1" s="12" t="s">
        <v>29</v>
      </c>
      <c r="S1" s="12" t="s">
        <v>30</v>
      </c>
      <c r="T1" s="12" t="s">
        <v>31</v>
      </c>
      <c r="U1" s="12" t="s">
        <v>32</v>
      </c>
      <c r="V1" s="12" t="s">
        <v>33</v>
      </c>
      <c r="W1" s="12" t="s">
        <v>34</v>
      </c>
      <c r="X1" s="12" t="s">
        <v>35</v>
      </c>
      <c r="Y1" s="12" t="s">
        <v>36</v>
      </c>
      <c r="Z1" s="12" t="s">
        <v>37</v>
      </c>
    </row>
    <row r="2" spans="1:26" ht="34.5" customHeight="1" x14ac:dyDescent="0.45">
      <c r="A2" s="13" t="s">
        <v>38</v>
      </c>
      <c r="B2" s="13" t="s">
        <v>39</v>
      </c>
      <c r="C2" s="13" t="s">
        <v>40</v>
      </c>
      <c r="D2" s="13" t="s">
        <v>41</v>
      </c>
      <c r="E2" s="13" t="s">
        <v>42</v>
      </c>
      <c r="F2" s="13" t="s">
        <v>43</v>
      </c>
      <c r="G2" s="13" t="s">
        <v>44</v>
      </c>
      <c r="H2" s="13" t="s">
        <v>45</v>
      </c>
      <c r="I2" s="13" t="s">
        <v>46</v>
      </c>
      <c r="J2" s="13">
        <v>32917</v>
      </c>
      <c r="K2" s="13">
        <v>1210</v>
      </c>
      <c r="L2" s="13">
        <v>1193</v>
      </c>
      <c r="M2" s="14">
        <f>IFERROR(IF(ISNUMBER(K2),IF(ISNUMBER(L2),L2/K2,"N/A"),"N/A"),"N/A")</f>
        <v>0.98595041322314048</v>
      </c>
      <c r="N2" s="13">
        <v>67</v>
      </c>
      <c r="O2" s="13">
        <v>18</v>
      </c>
      <c r="P2" s="13" t="s">
        <v>47</v>
      </c>
      <c r="Q2" s="13">
        <v>13900</v>
      </c>
      <c r="R2" s="13">
        <v>9100</v>
      </c>
      <c r="S2" s="13" t="s">
        <v>48</v>
      </c>
      <c r="T2" s="13" t="s">
        <v>49</v>
      </c>
      <c r="U2" s="13" t="s">
        <v>50</v>
      </c>
      <c r="V2" s="13">
        <v>56.2</v>
      </c>
      <c r="W2" s="13" t="s">
        <v>51</v>
      </c>
      <c r="X2" s="13">
        <v>9</v>
      </c>
      <c r="Y2" s="13" t="s">
        <v>52</v>
      </c>
      <c r="Z2" s="13" t="s">
        <v>53</v>
      </c>
    </row>
    <row r="3" spans="1:26" ht="34.5" customHeight="1" x14ac:dyDescent="0.45">
      <c r="A3" s="13" t="s">
        <v>54</v>
      </c>
      <c r="B3" s="13" t="s">
        <v>55</v>
      </c>
      <c r="C3" s="13" t="s">
        <v>56</v>
      </c>
      <c r="D3" s="13" t="s">
        <v>57</v>
      </c>
      <c r="E3" s="13" t="s">
        <v>58</v>
      </c>
      <c r="F3" s="13" t="s">
        <v>43</v>
      </c>
      <c r="G3" s="13" t="s">
        <v>59</v>
      </c>
      <c r="H3" s="13" t="s">
        <v>59</v>
      </c>
      <c r="I3" s="13" t="s">
        <v>50</v>
      </c>
      <c r="J3" s="13">
        <v>8800</v>
      </c>
      <c r="K3" s="13">
        <v>338</v>
      </c>
      <c r="L3" s="13">
        <v>1</v>
      </c>
      <c r="M3" s="14">
        <f>IFERROR(IF(ISNUMBER(K3),IF(ISNUMBER(L3),L3/K3,"N/A"),"N/A"),"N/A")</f>
        <v>2.9585798816568047E-3</v>
      </c>
      <c r="N3" s="13">
        <v>3</v>
      </c>
      <c r="O3" s="13">
        <v>0</v>
      </c>
      <c r="P3" s="13" t="s">
        <v>60</v>
      </c>
      <c r="Q3" s="13" t="s">
        <v>61</v>
      </c>
      <c r="R3" s="13" t="s">
        <v>62</v>
      </c>
      <c r="S3" s="13" t="s">
        <v>48</v>
      </c>
      <c r="T3" s="13" t="s">
        <v>63</v>
      </c>
      <c r="U3" s="13" t="s">
        <v>50</v>
      </c>
      <c r="V3" s="13">
        <v>43.3</v>
      </c>
      <c r="W3" s="13" t="s">
        <v>64</v>
      </c>
      <c r="X3" s="13">
        <v>9</v>
      </c>
      <c r="Y3" s="13" t="s">
        <v>65</v>
      </c>
      <c r="Z3" s="13" t="s">
        <v>66</v>
      </c>
    </row>
    <row r="4" spans="1:26" ht="23.25" customHeight="1" x14ac:dyDescent="0.45">
      <c r="A4" s="13" t="s">
        <v>67</v>
      </c>
      <c r="B4" s="13" t="s">
        <v>68</v>
      </c>
      <c r="C4" s="13" t="s">
        <v>69</v>
      </c>
      <c r="D4" s="13" t="s">
        <v>70</v>
      </c>
      <c r="E4" s="13" t="s">
        <v>71</v>
      </c>
      <c r="F4" s="13" t="s">
        <v>43</v>
      </c>
      <c r="G4" s="13" t="s">
        <v>72</v>
      </c>
      <c r="H4" s="13" t="s">
        <v>72</v>
      </c>
      <c r="I4" s="13" t="s">
        <v>50</v>
      </c>
      <c r="J4" s="13">
        <v>1674.63</v>
      </c>
      <c r="K4" s="13">
        <v>234</v>
      </c>
      <c r="L4" s="13">
        <v>148</v>
      </c>
      <c r="M4" s="14">
        <f>IFERROR(IF(ISNUMBER(K4),IF(ISNUMBER(L4),L4/K4,"N/A"),"N/A"),"N/A")</f>
        <v>0.63247863247863245</v>
      </c>
      <c r="N4" s="13">
        <v>0</v>
      </c>
      <c r="O4" s="13">
        <v>0</v>
      </c>
      <c r="P4" s="13" t="s">
        <v>73</v>
      </c>
      <c r="Q4" s="13" t="s">
        <v>74</v>
      </c>
      <c r="R4" s="13" t="s">
        <v>75</v>
      </c>
      <c r="S4" s="13" t="s">
        <v>48</v>
      </c>
      <c r="T4" s="13" t="s">
        <v>49</v>
      </c>
      <c r="U4" s="13" t="s">
        <v>50</v>
      </c>
      <c r="V4" s="13">
        <v>49</v>
      </c>
      <c r="W4" s="13" t="s">
        <v>64</v>
      </c>
      <c r="X4" s="13">
        <v>9</v>
      </c>
      <c r="Y4" s="13" t="s">
        <v>76</v>
      </c>
      <c r="Z4" s="13" t="s">
        <v>77</v>
      </c>
    </row>
    <row r="5" spans="1:26" ht="57" customHeight="1" x14ac:dyDescent="0.45">
      <c r="A5" s="13" t="s">
        <v>78</v>
      </c>
      <c r="B5" s="13" t="s">
        <v>79</v>
      </c>
      <c r="C5" s="13" t="s">
        <v>80</v>
      </c>
      <c r="D5" s="13" t="s">
        <v>81</v>
      </c>
      <c r="E5" s="13" t="s">
        <v>81</v>
      </c>
      <c r="F5" s="13" t="s">
        <v>82</v>
      </c>
      <c r="G5" s="13" t="s">
        <v>83</v>
      </c>
      <c r="H5" s="13" t="s">
        <v>83</v>
      </c>
      <c r="I5" s="13" t="s">
        <v>83</v>
      </c>
      <c r="J5" s="13" t="s">
        <v>84</v>
      </c>
      <c r="K5" s="13" t="s">
        <v>84</v>
      </c>
      <c r="L5" s="13" t="s">
        <v>84</v>
      </c>
      <c r="M5" s="14" t="str">
        <f>IFERROR(IF(ISNUMBER(K5),IF(ISNUMBER(L5),L5/K5,"N/A"),"N/A"),"N/A")</f>
        <v>N/A</v>
      </c>
      <c r="N5" s="13" t="s">
        <v>83</v>
      </c>
      <c r="O5" s="13" t="s">
        <v>83</v>
      </c>
      <c r="P5" s="13" t="s">
        <v>85</v>
      </c>
      <c r="Q5" s="13" t="s">
        <v>83</v>
      </c>
      <c r="R5" s="13" t="s">
        <v>83</v>
      </c>
      <c r="S5" s="13" t="s">
        <v>83</v>
      </c>
      <c r="T5" s="13" t="s">
        <v>86</v>
      </c>
      <c r="U5" s="13" t="s">
        <v>50</v>
      </c>
      <c r="V5" s="13">
        <v>56.8</v>
      </c>
      <c r="W5" s="13" t="s">
        <v>51</v>
      </c>
      <c r="X5" s="13">
        <v>6</v>
      </c>
      <c r="Y5" s="13" t="s">
        <v>87</v>
      </c>
      <c r="Z5" s="13" t="s">
        <v>88</v>
      </c>
    </row>
    <row r="6" spans="1:26" ht="23.25" customHeight="1" x14ac:dyDescent="0.45">
      <c r="A6" s="13" t="s">
        <v>89</v>
      </c>
      <c r="B6" s="13" t="s">
        <v>90</v>
      </c>
      <c r="C6" s="13" t="s">
        <v>91</v>
      </c>
      <c r="D6" s="13" t="s">
        <v>92</v>
      </c>
      <c r="E6" s="13" t="s">
        <v>58</v>
      </c>
      <c r="F6" s="13" t="s">
        <v>43</v>
      </c>
      <c r="G6" s="13" t="s">
        <v>93</v>
      </c>
      <c r="H6" s="13" t="s">
        <v>94</v>
      </c>
      <c r="I6" s="13" t="s">
        <v>46</v>
      </c>
      <c r="J6" s="13">
        <v>4261.41</v>
      </c>
      <c r="K6" s="13">
        <v>668</v>
      </c>
      <c r="L6" s="13">
        <v>66</v>
      </c>
      <c r="M6" s="14">
        <f>IFERROR(IF(ISNUMBER(K6),IF(ISNUMBER(L6),L6/K6,"N/A"),"N/A"),"N/A")</f>
        <v>9.880239520958084E-2</v>
      </c>
      <c r="N6" s="13">
        <v>0</v>
      </c>
      <c r="O6" s="13">
        <v>0</v>
      </c>
      <c r="P6" s="13" t="s">
        <v>95</v>
      </c>
      <c r="Q6" s="13" t="s">
        <v>74</v>
      </c>
      <c r="R6" s="13" t="s">
        <v>96</v>
      </c>
      <c r="S6" s="13" t="s">
        <v>48</v>
      </c>
      <c r="T6" s="13" t="s">
        <v>97</v>
      </c>
      <c r="U6" s="13" t="s">
        <v>50</v>
      </c>
      <c r="V6" s="13">
        <v>47.5</v>
      </c>
      <c r="W6" s="13" t="s">
        <v>64</v>
      </c>
      <c r="X6" s="13">
        <v>8</v>
      </c>
      <c r="Y6" s="13" t="s">
        <v>98</v>
      </c>
      <c r="Z6" s="13" t="s">
        <v>88</v>
      </c>
    </row>
    <row r="8" spans="1:26" ht="15" customHeight="1" x14ac:dyDescent="0.45">
      <c r="A8" s="3" t="s">
        <v>99</v>
      </c>
      <c r="B8" s="3"/>
      <c r="C8" s="3"/>
      <c r="D8" s="3"/>
      <c r="E8" s="3"/>
      <c r="F8" s="3"/>
      <c r="G8" s="3"/>
      <c r="H8" s="3"/>
      <c r="I8" s="3"/>
      <c r="J8" s="3"/>
      <c r="K8" s="3"/>
      <c r="L8" s="3"/>
      <c r="M8" s="3"/>
      <c r="N8" s="3"/>
      <c r="O8" s="3"/>
      <c r="P8" s="3"/>
      <c r="Q8" s="3"/>
      <c r="R8" s="3"/>
      <c r="S8" s="3"/>
      <c r="T8" s="3"/>
      <c r="U8" s="3"/>
      <c r="V8" s="3"/>
      <c r="W8" s="3"/>
      <c r="X8" s="3"/>
      <c r="Y8" s="3"/>
      <c r="Z8" s="3"/>
    </row>
  </sheetData>
  <autoFilter ref="A1:Z6" xr:uid="{00000000-0009-0000-0000-000001000000}"/>
  <mergeCells count="1">
    <mergeCell ref="A8:Z8"/>
  </mergeCells>
  <conditionalFormatting sqref="I2:I6">
    <cfRule type="cellIs" dxfId="12" priority="2" operator="equal">
      <formula>"Yes"</formula>
    </cfRule>
    <cfRule type="cellIs" dxfId="11" priority="3" operator="equal">
      <formula>"No"</formula>
    </cfRule>
  </conditionalFormatting>
  <conditionalFormatting sqref="M2:M6">
    <cfRule type="cellIs" dxfId="10" priority="4" operator="lessThan">
      <formula>0.2</formula>
    </cfRule>
    <cfRule type="cellIs" dxfId="9" priority="5" operator="between">
      <formula>0.2</formula>
      <formula>0.6</formula>
    </cfRule>
    <cfRule type="cellIs" dxfId="8" priority="6" operator="greaterThanOrEqual">
      <formula>0.6</formula>
    </cfRule>
  </conditionalFormatting>
  <conditionalFormatting sqref="N2:N6">
    <cfRule type="cellIs" dxfId="7" priority="7" operator="greaterThan">
      <formula>20</formula>
    </cfRule>
    <cfRule type="cellIs" dxfId="6" priority="8" operator="between">
      <formula>1</formula>
      <formula>20</formula>
    </cfRule>
  </conditionalFormatting>
  <conditionalFormatting sqref="N2:O6">
    <cfRule type="cellIs" dxfId="5" priority="9" operator="equal">
      <formula>0</formula>
    </cfRule>
  </conditionalFormatting>
  <conditionalFormatting sqref="O2:O6">
    <cfRule type="cellIs" dxfId="4" priority="10" operator="greaterThan">
      <formula>5</formula>
    </cfRule>
    <cfRule type="cellIs" dxfId="3" priority="11" operator="between">
      <formula>1</formula>
      <formula>5</formula>
    </cfRule>
  </conditionalFormatting>
  <conditionalFormatting sqref="V2:V6">
    <cfRule type="colorScale" priority="13">
      <colorScale>
        <cfvo type="min"/>
        <cfvo type="percentile" val="50"/>
        <cfvo type="max"/>
        <color rgb="FFF8696B"/>
        <color rgb="FFFFEB84"/>
        <color rgb="FF63BE7B"/>
      </colorScale>
    </cfRule>
  </conditionalFormatting>
  <conditionalFormatting sqref="W2:W6">
    <cfRule type="cellIs" dxfId="2" priority="14" operator="equal">
      <formula>"Limited"</formula>
    </cfRule>
    <cfRule type="cellIs" dxfId="1" priority="15" operator="equal">
      <formula>"Moderate"</formula>
    </cfRule>
    <cfRule type="cellIs" dxfId="0" priority="16" operator="equal">
      <formula>"High"</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showGridLines="0" zoomScaleNormal="100" workbookViewId="0">
      <selection sqref="A1:D1"/>
    </sheetView>
  </sheetViews>
  <sheetFormatPr defaultColWidth="8.6640625" defaultRowHeight="14.25" x14ac:dyDescent="0.45"/>
  <cols>
    <col min="1" max="1" width="30" customWidth="1"/>
    <col min="2" max="4" width="38" customWidth="1"/>
  </cols>
  <sheetData>
    <row r="1" spans="1:4" ht="17.25" customHeight="1" x14ac:dyDescent="0.5">
      <c r="A1" s="2" t="s">
        <v>100</v>
      </c>
      <c r="B1" s="2"/>
      <c r="C1" s="2"/>
      <c r="D1" s="2"/>
    </row>
    <row r="4" spans="1:4" ht="75" customHeight="1" x14ac:dyDescent="0.45">
      <c r="A4" s="15" t="s">
        <v>101</v>
      </c>
      <c r="B4" s="1" t="s">
        <v>102</v>
      </c>
      <c r="C4" s="1"/>
      <c r="D4" s="1"/>
    </row>
    <row r="5" spans="1:4" ht="30" customHeight="1" x14ac:dyDescent="0.45">
      <c r="A5" s="15" t="s">
        <v>103</v>
      </c>
      <c r="B5" s="1" t="s">
        <v>104</v>
      </c>
      <c r="C5" s="1"/>
      <c r="D5" s="1"/>
    </row>
    <row r="6" spans="1:4" ht="45" customHeight="1" x14ac:dyDescent="0.45">
      <c r="A6" s="15" t="s">
        <v>10</v>
      </c>
      <c r="B6" s="1" t="s">
        <v>105</v>
      </c>
      <c r="C6" s="1"/>
      <c r="D6" s="1"/>
    </row>
    <row r="7" spans="1:4" ht="75" customHeight="1" x14ac:dyDescent="0.45">
      <c r="A7" s="15" t="s">
        <v>106</v>
      </c>
      <c r="B7" s="1" t="s">
        <v>107</v>
      </c>
      <c r="C7" s="1"/>
      <c r="D7" s="1"/>
    </row>
    <row r="8" spans="1:4" ht="60" customHeight="1" x14ac:dyDescent="0.45">
      <c r="A8" s="15" t="s">
        <v>30</v>
      </c>
      <c r="B8" s="1" t="s">
        <v>108</v>
      </c>
      <c r="C8" s="1"/>
      <c r="D8" s="1"/>
    </row>
    <row r="9" spans="1:4" ht="60" customHeight="1" x14ac:dyDescent="0.45">
      <c r="A9" s="15" t="s">
        <v>109</v>
      </c>
      <c r="B9" s="1" t="s">
        <v>110</v>
      </c>
      <c r="C9" s="1"/>
      <c r="D9" s="1"/>
    </row>
    <row r="10" spans="1:4" ht="75" customHeight="1" x14ac:dyDescent="0.45">
      <c r="A10" s="15" t="s">
        <v>31</v>
      </c>
      <c r="B10" s="1" t="s">
        <v>111</v>
      </c>
      <c r="C10" s="1"/>
      <c r="D10" s="1"/>
    </row>
    <row r="11" spans="1:4" ht="60" customHeight="1" x14ac:dyDescent="0.45">
      <c r="A11" s="15" t="s">
        <v>36</v>
      </c>
      <c r="B11" s="1" t="s">
        <v>112</v>
      </c>
      <c r="C11" s="1"/>
      <c r="D11" s="1"/>
    </row>
    <row r="12" spans="1:4" ht="30" customHeight="1" x14ac:dyDescent="0.45">
      <c r="A12" s="15" t="s">
        <v>37</v>
      </c>
      <c r="B12" s="1" t="s">
        <v>113</v>
      </c>
      <c r="C12" s="1"/>
      <c r="D12" s="1"/>
    </row>
    <row r="13" spans="1:4" ht="45" customHeight="1" x14ac:dyDescent="0.45">
      <c r="A13" s="15" t="s">
        <v>114</v>
      </c>
      <c r="B13" s="1" t="s">
        <v>115</v>
      </c>
      <c r="C13" s="1"/>
      <c r="D13" s="1"/>
    </row>
  </sheetData>
  <mergeCells count="11">
    <mergeCell ref="B13:D13"/>
    <mergeCell ref="B8:D8"/>
    <mergeCell ref="B9:D9"/>
    <mergeCell ref="B10:D10"/>
    <mergeCell ref="B11:D11"/>
    <mergeCell ref="B12:D12"/>
    <mergeCell ref="A1:D1"/>
    <mergeCell ref="B4:D4"/>
    <mergeCell ref="B5:D5"/>
    <mergeCell ref="B6:D6"/>
    <mergeCell ref="B7:D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Master Tracker</vt:lpstr>
      <vt:lpstr>Notes &amp;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Hemang Ranjan</cp:lastModifiedBy>
  <cp:revision>2</cp:revision>
  <dcterms:created xsi:type="dcterms:W3CDTF">2026-07-27T12:02:04Z</dcterms:created>
  <dcterms:modified xsi:type="dcterms:W3CDTF">2026-07-27T13:20:55Z</dcterms:modified>
  <dc:language>en-US</dc:language>
</cp:coreProperties>
</file>